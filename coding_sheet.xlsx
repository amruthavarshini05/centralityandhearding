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huvana\Desktop\Ammu\MU\SEM 5\Social Computing\Social Computing poster project\"/>
    </mc:Choice>
  </mc:AlternateContent>
  <xr:revisionPtr revIDLastSave="0" documentId="13_ncr:1_{AAD25102-FEC3-4A19-9253-FD6AA343FFEF}" xr6:coauthVersionLast="47" xr6:coauthVersionMax="47" xr10:uidLastSave="{00000000-0000-0000-0000-000000000000}"/>
  <bookViews>
    <workbookView xWindow="-108" yWindow="-108" windowWidth="23256" windowHeight="12456" xr2:uid="{3865300B-C7EF-4012-961B-A740CDF5FA4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7" i="1" l="1"/>
  <c r="D18" i="1"/>
  <c r="D19" i="1"/>
  <c r="D21" i="1"/>
  <c r="C22" i="1"/>
  <c r="D22" i="1" s="1"/>
  <c r="C21" i="1"/>
  <c r="C20" i="1"/>
  <c r="D20" i="1" s="1"/>
  <c r="C19" i="1"/>
  <c r="C18" i="1"/>
  <c r="C17" i="1"/>
  <c r="C16" i="1"/>
  <c r="D16" i="1" s="1"/>
</calcChain>
</file>

<file path=xl/sharedStrings.xml><?xml version="1.0" encoding="utf-8"?>
<sst xmlns="http://schemas.openxmlformats.org/spreadsheetml/2006/main" count="47" uniqueCount="33">
  <si>
    <t xml:space="preserve">id  </t>
  </si>
  <si>
    <t xml:space="preserve">text_excerpt  </t>
  </si>
  <si>
    <t xml:space="preserve">TikTok_influence (0/1)  </t>
  </si>
  <si>
    <t xml:space="preserve">peer_pressure (0/1)  </t>
  </si>
  <si>
    <t xml:space="preserve">everyone_has_it (0/1)  </t>
  </si>
  <si>
    <t xml:space="preserve">display_herding (0/1)  </t>
  </si>
  <si>
    <t xml:space="preserve">collection_flex (0/1)  </t>
  </si>
  <si>
    <t xml:space="preserve">fear_of_missing_out (0/1)  </t>
  </si>
  <si>
    <t xml:space="preserve">influencer_push (0/1)  </t>
  </si>
  <si>
    <t xml:space="preserve">notes  </t>
  </si>
  <si>
    <t>rare sighting of a white stanley cup on the shelf</t>
  </si>
  <si>
    <t>reddit</t>
  </si>
  <si>
    <t xml:space="preserve">platform (reddit/instagram/twitter/yt)  </t>
  </si>
  <si>
    <t>This Stanley cup craze is getting out of control.</t>
  </si>
  <si>
    <t>The QUENCHER! Corgi approved</t>
  </si>
  <si>
    <t>Uses their per for further advertising. Also to show off that it's not completely due to the trend (or to divert negative PR towards the cute dog)</t>
  </si>
  <si>
    <r>
      <t xml:space="preserve">All hail the 40 oz Stanley. Helping me chug ice cold water all day long </t>
    </r>
    <r>
      <rPr>
        <sz val="11"/>
        <color theme="1"/>
        <rFont val="Segoe UI Emoji"/>
        <family val="2"/>
      </rPr>
      <t>🫡</t>
    </r>
  </si>
  <si>
    <t>yt shorts</t>
  </si>
  <si>
    <t xml:space="preserve">Unboxing my new Stanley cup </t>
  </si>
  <si>
    <t>BUY or BYE</t>
  </si>
  <si>
    <t>Packing My Stanley Tumbler: for a hot girl walk</t>
  </si>
  <si>
    <t>Uses accessories in addition to just the stanley</t>
  </si>
  <si>
    <t>I want MORE</t>
  </si>
  <si>
    <t>X</t>
  </si>
  <si>
    <r>
      <t xml:space="preserve">Stanley cups are back in </t>
    </r>
    <r>
      <rPr>
        <sz val="11"/>
        <color theme="1"/>
        <rFont val="Segoe UI Emoji"/>
        <family val="2"/>
      </rPr>
      <t>🇮🇳</t>
    </r>
    <r>
      <rPr>
        <sz val="11"/>
        <color theme="1"/>
        <rFont val="Consolas"/>
        <family val="3"/>
      </rPr>
      <t xml:space="preserve"> India through a Starbucks collab!</t>
    </r>
  </si>
  <si>
    <t>Uses a collab for traction</t>
  </si>
  <si>
    <t>The Stanley tumbler has reached influencer status.</t>
  </si>
  <si>
    <t>Category</t>
  </si>
  <si>
    <t>Count</t>
  </si>
  <si>
    <t>Percentage</t>
  </si>
  <si>
    <t>60% of our sample's posts mention getting a stanley because of TikTok influence</t>
  </si>
  <si>
    <t>Only 30% of our sample advertised it using their collection of stanleys but most of them showed of the additional accessories for the tumblers and everyone marketed it as a premium but MUST HAVE product</t>
  </si>
  <si>
    <t>100% of the sample implies that their decision for this purchase was because everyone has it. It wasn't because they just needed a water bottle. In fact there are a lot of posts in similar lines which compare stanley tublers with similar products of other brands. Then why was the sudden spike only for this one brand?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</si>
</sst>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onsolas"/>
      <family val="3"/>
    </font>
    <font>
      <sz val="11"/>
      <color theme="1"/>
      <name val="Segoe UI Emoji"/>
      <family val="2"/>
    </font>
    <font>
      <b/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Category VS Count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611351706036744"/>
          <c:y val="0.19486111111111112"/>
          <c:w val="0.83896084864391951"/>
          <c:h val="0.40979257801108193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Sheet1!$B$16:$B$22</c:f>
              <c:strCache>
                <c:ptCount val="7"/>
                <c:pt idx="0">
                  <c:v>TikTok_influence (0/1)  </c:v>
                </c:pt>
                <c:pt idx="1">
                  <c:v>peer_pressure (0/1)  </c:v>
                </c:pt>
                <c:pt idx="2">
                  <c:v>everyone_has_it (0/1)  </c:v>
                </c:pt>
                <c:pt idx="3">
                  <c:v>display_herding (0/1)  </c:v>
                </c:pt>
                <c:pt idx="4">
                  <c:v>collection_flex (0/1)  </c:v>
                </c:pt>
                <c:pt idx="5">
                  <c:v>fear_of_missing_out (0/1)  </c:v>
                </c:pt>
                <c:pt idx="6">
                  <c:v>influencer_push (0/1)  </c:v>
                </c:pt>
              </c:strCache>
            </c:strRef>
          </c:cat>
          <c:val>
            <c:numRef>
              <c:f>Sheet1!$C$16:$C$22</c:f>
              <c:numCache>
                <c:formatCode>General</c:formatCode>
                <c:ptCount val="7"/>
                <c:pt idx="0">
                  <c:v>6</c:v>
                </c:pt>
                <c:pt idx="1">
                  <c:v>5</c:v>
                </c:pt>
                <c:pt idx="2">
                  <c:v>10</c:v>
                </c:pt>
                <c:pt idx="3">
                  <c:v>8</c:v>
                </c:pt>
                <c:pt idx="4">
                  <c:v>3</c:v>
                </c:pt>
                <c:pt idx="5">
                  <c:v>9</c:v>
                </c:pt>
                <c:pt idx="6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D9F-448E-9362-00D3C1A381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80007983"/>
        <c:axId val="573075007"/>
      </c:barChart>
      <c:catAx>
        <c:axId val="5800079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3075007"/>
        <c:crosses val="autoZero"/>
        <c:auto val="1"/>
        <c:lblAlgn val="ctr"/>
        <c:lblOffset val="100"/>
        <c:noMultiLvlLbl val="0"/>
      </c:catAx>
      <c:valAx>
        <c:axId val="5730750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00079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15240</xdr:colOff>
      <xdr:row>22</xdr:row>
      <xdr:rowOff>179070</xdr:rowOff>
    </xdr:from>
    <xdr:to>
      <xdr:col>4</xdr:col>
      <xdr:colOff>236220</xdr:colOff>
      <xdr:row>37</xdr:row>
      <xdr:rowOff>179070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6371214-EF91-2F2F-0E0D-F32035898A7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0D1EFC-4137-4021-8A14-C1D9A1AFC39C}">
  <dimension ref="A1:K22"/>
  <sheetViews>
    <sheetView tabSelected="1" topLeftCell="A20" workbookViewId="0">
      <selection activeCell="F38" sqref="F38"/>
    </sheetView>
  </sheetViews>
  <sheetFormatPr defaultRowHeight="14.4" x14ac:dyDescent="0.3"/>
  <cols>
    <col min="1" max="1" width="3.33203125" bestFit="1" customWidth="1"/>
    <col min="2" max="2" width="31" bestFit="1" customWidth="1"/>
    <col min="3" max="3" width="12.21875" bestFit="1" customWidth="1"/>
    <col min="4" max="4" width="20.21875" bestFit="1" customWidth="1"/>
    <col min="5" max="5" width="18" bestFit="1" customWidth="1"/>
    <col min="6" max="6" width="19.88671875" bestFit="1" customWidth="1"/>
    <col min="7" max="7" width="19" bestFit="1" customWidth="1"/>
    <col min="8" max="8" width="18.44140625" bestFit="1" customWidth="1"/>
    <col min="9" max="9" width="23.33203125" bestFit="1" customWidth="1"/>
    <col min="10" max="10" width="19.33203125" bestFit="1" customWidth="1"/>
    <col min="11" max="11" width="6.44140625" bestFit="1" customWidth="1"/>
  </cols>
  <sheetData>
    <row r="1" spans="1:11" x14ac:dyDescent="0.3">
      <c r="A1" t="s">
        <v>0</v>
      </c>
      <c r="B1" t="s">
        <v>12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 x14ac:dyDescent="0.3">
      <c r="A2">
        <v>1</v>
      </c>
      <c r="B2" t="s">
        <v>11</v>
      </c>
      <c r="C2" t="s">
        <v>10</v>
      </c>
      <c r="D2">
        <v>0</v>
      </c>
      <c r="E2">
        <v>0</v>
      </c>
      <c r="F2">
        <v>1</v>
      </c>
      <c r="G2">
        <v>0</v>
      </c>
      <c r="H2">
        <v>0</v>
      </c>
      <c r="I2">
        <v>0</v>
      </c>
      <c r="J2">
        <v>0</v>
      </c>
    </row>
    <row r="3" spans="1:11" x14ac:dyDescent="0.3">
      <c r="A3">
        <v>2</v>
      </c>
      <c r="B3" t="s">
        <v>11</v>
      </c>
      <c r="C3" s="1" t="s">
        <v>13</v>
      </c>
      <c r="D3">
        <v>1</v>
      </c>
      <c r="E3">
        <v>1</v>
      </c>
      <c r="F3">
        <v>1</v>
      </c>
      <c r="G3">
        <v>1</v>
      </c>
      <c r="H3">
        <v>0</v>
      </c>
      <c r="I3">
        <v>1</v>
      </c>
      <c r="J3">
        <v>1</v>
      </c>
    </row>
    <row r="4" spans="1:11" x14ac:dyDescent="0.3">
      <c r="A4">
        <v>3</v>
      </c>
      <c r="B4" t="s">
        <v>11</v>
      </c>
      <c r="C4" s="2" t="s">
        <v>14</v>
      </c>
      <c r="D4">
        <v>0</v>
      </c>
      <c r="E4">
        <v>1</v>
      </c>
      <c r="F4">
        <v>1</v>
      </c>
      <c r="G4">
        <v>1</v>
      </c>
      <c r="H4">
        <v>1</v>
      </c>
      <c r="I4">
        <v>1</v>
      </c>
      <c r="J4">
        <v>0</v>
      </c>
      <c r="K4" t="s">
        <v>15</v>
      </c>
    </row>
    <row r="5" spans="1:11" ht="15.6" x14ac:dyDescent="0.3">
      <c r="A5">
        <v>4</v>
      </c>
      <c r="B5" t="s">
        <v>11</v>
      </c>
      <c r="C5" s="1" t="s">
        <v>16</v>
      </c>
      <c r="D5">
        <v>0</v>
      </c>
      <c r="E5">
        <v>1</v>
      </c>
      <c r="F5">
        <v>1</v>
      </c>
      <c r="G5">
        <v>1</v>
      </c>
      <c r="H5">
        <v>0</v>
      </c>
      <c r="I5">
        <v>1</v>
      </c>
      <c r="J5">
        <v>1</v>
      </c>
    </row>
    <row r="6" spans="1:11" x14ac:dyDescent="0.3">
      <c r="A6">
        <v>5</v>
      </c>
      <c r="B6" t="s">
        <v>17</v>
      </c>
      <c r="C6" s="1" t="s">
        <v>18</v>
      </c>
      <c r="D6">
        <v>1</v>
      </c>
      <c r="E6">
        <v>1</v>
      </c>
      <c r="F6">
        <v>1</v>
      </c>
      <c r="G6">
        <v>1</v>
      </c>
      <c r="H6">
        <v>0</v>
      </c>
      <c r="I6">
        <v>1</v>
      </c>
      <c r="J6">
        <v>1</v>
      </c>
    </row>
    <row r="7" spans="1:11" x14ac:dyDescent="0.3">
      <c r="A7">
        <v>6</v>
      </c>
      <c r="B7" t="s">
        <v>17</v>
      </c>
      <c r="C7" s="1" t="s">
        <v>19</v>
      </c>
      <c r="D7">
        <v>1</v>
      </c>
      <c r="E7">
        <v>0</v>
      </c>
      <c r="F7">
        <v>1</v>
      </c>
      <c r="G7">
        <v>0</v>
      </c>
      <c r="H7">
        <v>0</v>
      </c>
      <c r="I7">
        <v>1</v>
      </c>
      <c r="J7">
        <v>1</v>
      </c>
    </row>
    <row r="8" spans="1:11" x14ac:dyDescent="0.3">
      <c r="A8">
        <v>7</v>
      </c>
      <c r="B8" t="s">
        <v>17</v>
      </c>
      <c r="C8" s="2" t="s">
        <v>20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 t="s">
        <v>21</v>
      </c>
    </row>
    <row r="9" spans="1:11" x14ac:dyDescent="0.3">
      <c r="A9">
        <v>8</v>
      </c>
      <c r="B9" t="s">
        <v>17</v>
      </c>
      <c r="C9" s="2" t="s">
        <v>22</v>
      </c>
      <c r="D9">
        <v>1</v>
      </c>
      <c r="E9">
        <v>0</v>
      </c>
      <c r="F9">
        <v>1</v>
      </c>
      <c r="G9">
        <v>1</v>
      </c>
      <c r="H9">
        <v>1</v>
      </c>
      <c r="I9">
        <v>1</v>
      </c>
      <c r="J9">
        <v>1</v>
      </c>
    </row>
    <row r="10" spans="1:11" ht="15.6" x14ac:dyDescent="0.3">
      <c r="A10">
        <v>9</v>
      </c>
      <c r="B10" t="s">
        <v>23</v>
      </c>
      <c r="C10" s="1" t="s">
        <v>24</v>
      </c>
      <c r="D10">
        <v>1</v>
      </c>
      <c r="E10">
        <v>0</v>
      </c>
      <c r="F10">
        <v>1</v>
      </c>
      <c r="G10">
        <v>1</v>
      </c>
      <c r="H10">
        <v>0</v>
      </c>
      <c r="I10">
        <v>1</v>
      </c>
      <c r="J10">
        <v>0</v>
      </c>
      <c r="K10" t="s">
        <v>25</v>
      </c>
    </row>
    <row r="11" spans="1:11" x14ac:dyDescent="0.3">
      <c r="A11">
        <v>10</v>
      </c>
      <c r="B11" t="s">
        <v>23</v>
      </c>
      <c r="C11" s="1" t="s">
        <v>26</v>
      </c>
      <c r="D11">
        <v>0</v>
      </c>
      <c r="E11">
        <v>0</v>
      </c>
      <c r="F11">
        <v>1</v>
      </c>
      <c r="G11">
        <v>1</v>
      </c>
      <c r="H11">
        <v>0</v>
      </c>
      <c r="I11">
        <v>1</v>
      </c>
      <c r="J11">
        <v>1</v>
      </c>
    </row>
    <row r="15" spans="1:11" x14ac:dyDescent="0.3">
      <c r="B15" s="3" t="s">
        <v>27</v>
      </c>
      <c r="C15" s="3" t="s">
        <v>28</v>
      </c>
      <c r="D15" s="3" t="s">
        <v>29</v>
      </c>
    </row>
    <row r="16" spans="1:11" x14ac:dyDescent="0.3">
      <c r="B16" t="s">
        <v>2</v>
      </c>
      <c r="C16">
        <f>COUNTIF(D$2:D$11,1)</f>
        <v>6</v>
      </c>
      <c r="D16">
        <f>(C16/10)*100</f>
        <v>60</v>
      </c>
      <c r="F16" t="s">
        <v>30</v>
      </c>
    </row>
    <row r="17" spans="2:6" x14ac:dyDescent="0.3">
      <c r="B17" t="s">
        <v>3</v>
      </c>
      <c r="C17">
        <f>COUNTIF(E$2:E$11,1)</f>
        <v>5</v>
      </c>
      <c r="D17">
        <f t="shared" ref="D17:D22" si="0">(C17/10)*100</f>
        <v>50</v>
      </c>
      <c r="F17" t="s">
        <v>31</v>
      </c>
    </row>
    <row r="18" spans="2:6" x14ac:dyDescent="0.3">
      <c r="B18" t="s">
        <v>4</v>
      </c>
      <c r="C18">
        <f>COUNTIF(F$2:F$11,1)</f>
        <v>10</v>
      </c>
      <c r="D18">
        <f t="shared" si="0"/>
        <v>100</v>
      </c>
      <c r="F18" t="s">
        <v>32</v>
      </c>
    </row>
    <row r="19" spans="2:6" x14ac:dyDescent="0.3">
      <c r="B19" t="s">
        <v>5</v>
      </c>
      <c r="C19">
        <f>COUNTIF(G$2:G$11,1)</f>
        <v>8</v>
      </c>
      <c r="D19">
        <f t="shared" si="0"/>
        <v>80</v>
      </c>
    </row>
    <row r="20" spans="2:6" x14ac:dyDescent="0.3">
      <c r="B20" t="s">
        <v>6</v>
      </c>
      <c r="C20">
        <f>COUNTIF(H$2:H$11,1)</f>
        <v>3</v>
      </c>
      <c r="D20">
        <f t="shared" si="0"/>
        <v>30</v>
      </c>
    </row>
    <row r="21" spans="2:6" x14ac:dyDescent="0.3">
      <c r="B21" t="s">
        <v>7</v>
      </c>
      <c r="C21">
        <f>COUNTIF(I$2:I$11,1)</f>
        <v>9</v>
      </c>
      <c r="D21">
        <f t="shared" si="0"/>
        <v>90</v>
      </c>
    </row>
    <row r="22" spans="2:6" x14ac:dyDescent="0.3">
      <c r="B22" t="s">
        <v>8</v>
      </c>
      <c r="C22">
        <f>COUNTIF(J$2:J$11,1)</f>
        <v>7</v>
      </c>
      <c r="D22">
        <f t="shared" si="0"/>
        <v>70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Bhuvana Panchapakesan</dc:creator>
  <cp:lastModifiedBy>Bhuvana Panchapakesan</cp:lastModifiedBy>
  <dcterms:created xsi:type="dcterms:W3CDTF">2025-11-24T14:55:14Z</dcterms:created>
  <dcterms:modified xsi:type="dcterms:W3CDTF">2025-11-30T08:02:46Z</dcterms:modified>
</cp:coreProperties>
</file>